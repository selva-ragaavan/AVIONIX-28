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Victus\Desktop\AVIONIX-28\Design_calc\"/>
    </mc:Choice>
  </mc:AlternateContent>
  <xr:revisionPtr revIDLastSave="0" documentId="13_ncr:1_{52A8C8F0-B31B-441C-9274-277397403204}" xr6:coauthVersionLast="47" xr6:coauthVersionMax="47" xr10:uidLastSave="{00000000-0000-0000-0000-000000000000}"/>
  <bookViews>
    <workbookView xWindow="0" yWindow="360" windowWidth="23256" windowHeight="12456" tabRatio="500" xr2:uid="{00000000-000D-0000-FFFF-FFFF00000000}"/>
  </bookViews>
  <sheets>
    <sheet name="Buck Desig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7" i="1" l="1"/>
  <c r="B26" i="1"/>
  <c r="B29" i="1" s="1"/>
  <c r="B25" i="1"/>
  <c r="B28" i="1" s="1"/>
  <c r="B18" i="1"/>
  <c r="B21" i="1" l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4" authorId="0" shapeId="0" xr:uid="{00000000-0006-0000-0000-000001000000}">
      <text>
        <r>
          <rPr>
            <sz val="10"/>
            <rFont val="Arial"/>
            <family val="2"/>
          </rPr>
          <t>User-supplied input voltage</t>
        </r>
      </text>
    </comment>
    <comment ref="B5" authorId="0" shapeId="0" xr:uid="{00000000-0006-0000-0000-000002000000}">
      <text>
        <r>
          <rPr>
            <sz val="10"/>
            <rFont val="Arial"/>
            <family val="2"/>
          </rPr>
          <t>User-supplied output voltage</t>
        </r>
      </text>
    </comment>
    <comment ref="B6" authorId="0" shapeId="0" xr:uid="{00000000-0006-0000-0000-000003000000}">
      <text>
        <r>
          <rPr>
            <sz val="10"/>
            <rFont val="Arial"/>
            <family val="2"/>
          </rPr>
          <t>User-specified factor applied to duty cycle (Dmax = Vout/Vin * 0.85)</t>
        </r>
      </text>
    </comment>
    <comment ref="B7" authorId="0" shapeId="0" xr:uid="{00000000-0006-0000-0000-000004000000}">
      <text>
        <r>
          <rPr>
            <sz val="10"/>
            <rFont val="Arial"/>
            <family val="2"/>
          </rPr>
          <t>Minimum recommended inductor per datasheet/formula</t>
        </r>
      </text>
    </comment>
    <comment ref="B8" authorId="0" shapeId="0" xr:uid="{00000000-0006-0000-0000-000005000000}">
      <text>
        <r>
          <rPr>
            <sz val="10"/>
            <rFont val="Arial"/>
            <family val="2"/>
          </rPr>
          <t>Actual inductor chosen - larger than recommended minimum</t>
        </r>
      </text>
    </comment>
    <comment ref="B9" authorId="0" shapeId="0" xr:uid="{00000000-0006-0000-0000-000006000000}">
      <text>
        <r>
          <rPr>
            <sz val="10"/>
            <rFont val="Arial"/>
            <family val="2"/>
          </rPr>
          <t>Switching frequency</t>
        </r>
      </text>
    </comment>
    <comment ref="B12" authorId="0" shapeId="0" xr:uid="{00000000-0006-0000-0000-000007000000}">
      <text>
        <r>
          <rPr>
            <sz val="10"/>
            <rFont val="Arial"/>
            <family val="2"/>
          </rPr>
          <t>Margin/offset subtracted from datasheet current limits</t>
        </r>
      </text>
    </comment>
    <comment ref="B13" authorId="0" shapeId="0" xr:uid="{00000000-0006-0000-0000-000008000000}">
      <text>
        <r>
          <rPr>
            <sz val="10"/>
            <rFont val="Arial"/>
            <family val="2"/>
          </rPr>
          <t>Nominal max output/load current used for switch current calc</t>
        </r>
      </text>
    </comment>
    <comment ref="B21" authorId="0" shapeId="0" xr:uid="{00000000-0006-0000-0000-000009000000}">
      <text>
        <r>
          <rPr>
            <sz val="10"/>
            <rFont val="Arial"/>
            <family val="2"/>
          </rPr>
          <t>Ripple current in Amps, using minimum/datasheet inductance value for worst-case ripple</t>
        </r>
      </text>
    </comment>
    <comment ref="B22" authorId="0" shapeId="0" xr:uid="{00000000-0006-0000-0000-00000A000000}">
      <text>
        <r>
          <rPr>
            <sz val="10"/>
            <rFont val="Arial"/>
            <family val="2"/>
          </rPr>
          <t>Ripple current recomputed with the larger, actually-used inductor - lower ripple than minimum L case</t>
        </r>
      </text>
    </comment>
  </commentList>
</comments>
</file>

<file path=xl/sharedStrings.xml><?xml version="1.0" encoding="utf-8"?>
<sst xmlns="http://schemas.openxmlformats.org/spreadsheetml/2006/main" count="28" uniqueCount="28">
  <si>
    <t>Buck Converter Design Calculations</t>
  </si>
  <si>
    <t>Input Parameters</t>
  </si>
  <si>
    <t>Vin (V)</t>
  </si>
  <si>
    <t>Vout (V)</t>
  </si>
  <si>
    <t>Efficiency/derating factor</t>
  </si>
  <si>
    <t>L selected - datasheet min (uH)</t>
  </si>
  <si>
    <t>L actual used (uH)</t>
  </si>
  <si>
    <t>Switching Frequency Fsw (kHz)</t>
  </si>
  <si>
    <t>HS current limit, datasheet (A)</t>
  </si>
  <si>
    <t>LS current limit, datasheet (A)</t>
  </si>
  <si>
    <t>Margin subtracted (A)</t>
  </si>
  <si>
    <t>Max load current Iout (A)</t>
  </si>
  <si>
    <t>R4 (kohm)</t>
  </si>
  <si>
    <t>R5 (kohm)</t>
  </si>
  <si>
    <t>Duty Cycle</t>
  </si>
  <si>
    <t>Dmax = (Vout/Vin) * factor</t>
  </si>
  <si>
    <t>Inductor Ripple Current (using min L)</t>
  </si>
  <si>
    <t>Delta I = (Vin-Vout)*D / (Fsw*L)</t>
  </si>
  <si>
    <t>Delta I with L actual used</t>
  </si>
  <si>
    <t>Current Limit Margins</t>
  </si>
  <si>
    <t>HS current limit w/ margin (A)</t>
  </si>
  <si>
    <t>LS current limit w/ margin (A)</t>
  </si>
  <si>
    <t>Max switching current (Iout + margin)</t>
  </si>
  <si>
    <t>HS margin vs max switching current (A)</t>
  </si>
  <si>
    <t>LS margin vs max switching current (A)</t>
  </si>
  <si>
    <t xml:space="preserve">R4 = 100k, R5 = 13.3k </t>
  </si>
  <si>
    <t>Feedback Resistor Divider  : calculated from the datasheet</t>
  </si>
  <si>
    <t>worst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</si>
</sst>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7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11"/>
      <color rgb="FF0000FF"/>
      <name val="Arial"/>
      <charset val="1"/>
    </font>
    <font>
      <sz val="11"/>
      <color rgb="FF000000"/>
      <name val="Arial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2" borderId="0" xfId="0" applyFont="1" applyFill="1" applyAlignment="1">
      <alignment horizontal="left" vertical="center"/>
    </xf>
    <xf numFmtId="0" fontId="1" fillId="0" borderId="0" xfId="0" applyFont="1"/>
    <xf numFmtId="0" fontId="3" fillId="3" borderId="0" xfId="0" applyFont="1" applyFill="1"/>
    <xf numFmtId="0" fontId="4" fillId="0" borderId="1" xfId="0" applyFont="1" applyBorder="1"/>
    <xf numFmtId="0" fontId="3" fillId="0" borderId="0" xfId="0" applyFont="1"/>
    <xf numFmtId="164" fontId="5" fillId="0" borderId="1" xfId="0" applyNumberFormat="1" applyFont="1" applyBorder="1"/>
    <xf numFmtId="2" fontId="5" fillId="0" borderId="1" xfId="0" applyNumberFormat="1" applyFont="1" applyBorder="1"/>
    <xf numFmtId="0" fontId="3" fillId="0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5"/>
  <sheetViews>
    <sheetView tabSelected="1" topLeftCell="A15" zoomScaleNormal="100" workbookViewId="0">
      <selection activeCell="A22" sqref="A22"/>
    </sheetView>
  </sheetViews>
  <sheetFormatPr defaultColWidth="8.6640625" defaultRowHeight="14.4" x14ac:dyDescent="0.3"/>
  <cols>
    <col min="1" max="1" width="30" customWidth="1"/>
    <col min="2" max="2" width="16" customWidth="1"/>
    <col min="3" max="3" width="12" customWidth="1"/>
    <col min="4" max="4" width="45" customWidth="1"/>
  </cols>
  <sheetData>
    <row r="1" spans="1:4" ht="16.8" x14ac:dyDescent="0.3">
      <c r="A1" s="2" t="s">
        <v>0</v>
      </c>
      <c r="B1" s="2"/>
      <c r="C1" s="2"/>
      <c r="D1" s="2"/>
    </row>
    <row r="3" spans="1:4" x14ac:dyDescent="0.3">
      <c r="A3" s="1" t="s">
        <v>1</v>
      </c>
      <c r="B3" s="1"/>
      <c r="C3" s="1"/>
      <c r="D3" s="1"/>
    </row>
    <row r="4" spans="1:4" x14ac:dyDescent="0.3">
      <c r="A4" s="3" t="s">
        <v>2</v>
      </c>
      <c r="B4" s="4">
        <v>28</v>
      </c>
    </row>
    <row r="5" spans="1:4" x14ac:dyDescent="0.3">
      <c r="A5" s="3" t="s">
        <v>3</v>
      </c>
      <c r="B5" s="4">
        <v>5</v>
      </c>
    </row>
    <row r="6" spans="1:4" x14ac:dyDescent="0.3">
      <c r="A6" s="3" t="s">
        <v>4</v>
      </c>
      <c r="B6" s="4">
        <v>0.85</v>
      </c>
      <c r="C6" t="s">
        <v>27</v>
      </c>
    </row>
    <row r="7" spans="1:4" x14ac:dyDescent="0.3">
      <c r="A7" s="3" t="s">
        <v>5</v>
      </c>
      <c r="B7" s="4">
        <v>12</v>
      </c>
    </row>
    <row r="8" spans="1:4" x14ac:dyDescent="0.3">
      <c r="A8" s="3" t="s">
        <v>6</v>
      </c>
      <c r="B8" s="4">
        <v>24</v>
      </c>
    </row>
    <row r="9" spans="1:4" x14ac:dyDescent="0.3">
      <c r="A9" s="3" t="s">
        <v>7</v>
      </c>
      <c r="B9" s="4">
        <v>1100</v>
      </c>
    </row>
    <row r="10" spans="1:4" x14ac:dyDescent="0.3">
      <c r="A10" s="3" t="s">
        <v>8</v>
      </c>
      <c r="B10" s="4">
        <v>1.6</v>
      </c>
    </row>
    <row r="11" spans="1:4" x14ac:dyDescent="0.3">
      <c r="A11" s="3" t="s">
        <v>9</v>
      </c>
      <c r="B11" s="4">
        <v>1.2</v>
      </c>
    </row>
    <row r="12" spans="1:4" x14ac:dyDescent="0.3">
      <c r="A12" s="3" t="s">
        <v>10</v>
      </c>
      <c r="B12" s="4">
        <v>0.18</v>
      </c>
    </row>
    <row r="13" spans="1:4" x14ac:dyDescent="0.3">
      <c r="A13" s="3" t="s">
        <v>11</v>
      </c>
      <c r="B13" s="4">
        <v>0.5</v>
      </c>
    </row>
    <row r="14" spans="1:4" x14ac:dyDescent="0.3">
      <c r="A14" s="3" t="s">
        <v>12</v>
      </c>
      <c r="B14" s="4">
        <v>100</v>
      </c>
    </row>
    <row r="15" spans="1:4" x14ac:dyDescent="0.3">
      <c r="A15" s="3" t="s">
        <v>13</v>
      </c>
      <c r="B15" s="4">
        <v>13.3</v>
      </c>
    </row>
    <row r="17" spans="1:4" x14ac:dyDescent="0.3">
      <c r="A17" s="1" t="s">
        <v>14</v>
      </c>
      <c r="B17" s="1"/>
      <c r="C17" s="1"/>
      <c r="D17" s="1"/>
    </row>
    <row r="18" spans="1:4" x14ac:dyDescent="0.3">
      <c r="A18" s="5" t="s">
        <v>15</v>
      </c>
      <c r="B18" s="6">
        <f>(B5/B4)*B6</f>
        <v>0.15178571428571427</v>
      </c>
    </row>
    <row r="20" spans="1:4" x14ac:dyDescent="0.3">
      <c r="A20" s="1" t="s">
        <v>16</v>
      </c>
      <c r="B20" s="1"/>
      <c r="C20" s="1"/>
      <c r="D20" s="1"/>
    </row>
    <row r="21" spans="1:4" x14ac:dyDescent="0.3">
      <c r="A21" s="5" t="s">
        <v>17</v>
      </c>
      <c r="B21" s="6">
        <f>((B4-B5)*B18)/((B9*1000)*(B7*0.000001))</f>
        <v>0.26447510822510817</v>
      </c>
    </row>
    <row r="22" spans="1:4" x14ac:dyDescent="0.3">
      <c r="A22" s="5" t="s">
        <v>18</v>
      </c>
      <c r="B22" s="6">
        <f>((B4-B5)*B18)/((B9*1000)*(B8*0.000001))</f>
        <v>0.13223755411255408</v>
      </c>
    </row>
    <row r="24" spans="1:4" x14ac:dyDescent="0.3">
      <c r="A24" s="1" t="s">
        <v>19</v>
      </c>
      <c r="B24" s="1"/>
      <c r="C24" s="1"/>
      <c r="D24" s="1"/>
    </row>
    <row r="25" spans="1:4" x14ac:dyDescent="0.3">
      <c r="A25" s="5" t="s">
        <v>20</v>
      </c>
      <c r="B25" s="7">
        <f>B10-B12</f>
        <v>1.4200000000000002</v>
      </c>
    </row>
    <row r="26" spans="1:4" x14ac:dyDescent="0.3">
      <c r="A26" s="5" t="s">
        <v>21</v>
      </c>
      <c r="B26" s="7">
        <f>B11-B12</f>
        <v>1.02</v>
      </c>
    </row>
    <row r="27" spans="1:4" x14ac:dyDescent="0.3">
      <c r="A27" s="5" t="s">
        <v>22</v>
      </c>
      <c r="B27" s="7">
        <f>B13+B12</f>
        <v>0.67999999999999994</v>
      </c>
    </row>
    <row r="28" spans="1:4" x14ac:dyDescent="0.3">
      <c r="A28" s="5" t="s">
        <v>23</v>
      </c>
      <c r="B28" s="7">
        <f>B25-B27</f>
        <v>0.74000000000000021</v>
      </c>
    </row>
    <row r="29" spans="1:4" x14ac:dyDescent="0.3">
      <c r="A29" s="5" t="s">
        <v>24</v>
      </c>
      <c r="B29" s="7">
        <f>B26-B27</f>
        <v>0.34000000000000008</v>
      </c>
    </row>
    <row r="31" spans="1:4" x14ac:dyDescent="0.3">
      <c r="A31" s="1" t="s">
        <v>26</v>
      </c>
      <c r="B31" s="1"/>
      <c r="C31" s="1"/>
      <c r="D31" s="1"/>
    </row>
    <row r="32" spans="1:4" x14ac:dyDescent="0.3">
      <c r="A32" s="8" t="s">
        <v>25</v>
      </c>
    </row>
    <row r="35" ht="22.35" customHeight="1" x14ac:dyDescent="0.3"/>
  </sheetData>
  <mergeCells count="6">
    <mergeCell ref="A31:D31"/>
    <mergeCell ref="A1:D1"/>
    <mergeCell ref="A3:D3"/>
    <mergeCell ref="A17:D17"/>
    <mergeCell ref="A20:D20"/>
    <mergeCell ref="A24:D24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Buck Design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tharun Karthikeyan</cp:lastModifiedBy>
  <cp:revision>0</cp:revision>
  <dcterms:created xsi:type="dcterms:W3CDTF">2026-08-19T14:11:54Z</dcterms:created>
  <dcterms:modified xsi:type="dcterms:W3CDTF">2026-08-19T17:04:59Z</dcterms:modified>
  <dc:language>en-US</dc:language>
</cp:coreProperties>
</file>