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ck Desig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User-supplied input voltage</t>
        </r>
      </text>
    </comment>
    <comment ref="B5" authorId="0">
      <text>
        <r>
          <rPr>
            <sz val="10"/>
            <rFont val="Arial"/>
            <family val="2"/>
          </rPr>
          <t xml:space="preserve">User-supplied output voltage</t>
        </r>
      </text>
    </comment>
    <comment ref="B6" authorId="0">
      <text>
        <r>
          <rPr>
            <sz val="10"/>
            <rFont val="Arial"/>
            <family val="2"/>
          </rPr>
          <t xml:space="preserve">User-specified factor applied to duty cycle (Dmax = Vout/Vin * 0.85)</t>
        </r>
      </text>
    </comment>
    <comment ref="B7" authorId="0">
      <text>
        <r>
          <rPr>
            <sz val="10"/>
            <rFont val="Arial"/>
            <family val="2"/>
          </rPr>
          <t xml:space="preserve">Minimum recommended inductor per datasheet/formula</t>
        </r>
      </text>
    </comment>
    <comment ref="B8" authorId="0">
      <text>
        <r>
          <rPr>
            <sz val="10"/>
            <rFont val="Arial"/>
            <family val="2"/>
          </rPr>
          <t xml:space="preserve">Actual inductor chosen - larger than recommended minimum</t>
        </r>
      </text>
    </comment>
    <comment ref="B9" authorId="0">
      <text>
        <r>
          <rPr>
            <sz val="10"/>
            <rFont val="Arial"/>
            <family val="2"/>
          </rPr>
          <t xml:space="preserve">Switching frequency</t>
        </r>
      </text>
    </comment>
    <comment ref="B12" authorId="0">
      <text>
        <r>
          <rPr>
            <sz val="10"/>
            <rFont val="Arial"/>
            <family val="2"/>
          </rPr>
          <t xml:space="preserve">Margin/offset subtracted from datasheet current limits</t>
        </r>
      </text>
    </comment>
    <comment ref="B13" authorId="0">
      <text>
        <r>
          <rPr>
            <sz val="10"/>
            <rFont val="Arial"/>
            <family val="2"/>
          </rPr>
          <t xml:space="preserve">Nominal max output/load current used for switch current calc</t>
        </r>
      </text>
    </comment>
    <comment ref="B21" authorId="0">
      <text>
        <r>
          <rPr>
            <sz val="10"/>
            <rFont val="Arial"/>
            <family val="2"/>
          </rPr>
          <t xml:space="preserve">Ripple current in Amps, using minimum/datasheet inductance value for worst-case ripple</t>
        </r>
      </text>
    </comment>
    <comment ref="B22" authorId="0">
      <text>
        <r>
          <rPr>
            <sz val="10"/>
            <rFont val="Arial"/>
            <family val="2"/>
          </rPr>
          <t xml:space="preserve">Ripple current recomputed with the larger, actually-used inductor - lower ripple than minimum L case</t>
        </r>
      </text>
    </comment>
    <comment ref="B32" authorId="0">
      <text>
        <r>
          <rPr>
            <sz val="10"/>
            <rFont val="Arial"/>
            <family val="2"/>
          </rPr>
          <t xml:space="preserve">Assumed feedback reference voltage - update if regulator IC differs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<sst xmlns="http://schemas.openxmlformats.org/spreadsheetml/2006/main" count="29" uniqueCount="29">
  <si>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Buck Converter Design Calculations</t>
  </si>
  <si>
    <t xml:space="preserve">Input Parameters</t>
  </si>
  <si>
    <t xml:space="preserve">Vin (V)</t>
  </si>
  <si>
    <t xml:space="preserve">Vout (V)</t>
  </si>
  <si>
    <t xml:space="preserve">Efficiency/derating factor</t>
  </si>
  <si>
    <t xml:space="preserve">L selected - datasheet min (uH)</t>
  </si>
  <si>
    <t xml:space="preserve">L actual used (uH)</t>
  </si>
  <si>
    <t xml:space="preserve">Switching Frequency Fsw (kHz)</t>
  </si>
  <si>
    <t xml:space="preserve">HS current limit, datasheet (A)</t>
  </si>
  <si>
    <t xml:space="preserve">LS current limit, datasheet (A)</t>
  </si>
  <si>
    <t xml:space="preserve">Margin subtracted (A)</t>
  </si>
  <si>
    <t xml:space="preserve">Max load current Iout (A)</t>
  </si>
  <si>
    <t xml:space="preserve">R4 (kohm)</t>
  </si>
  <si>
    <t xml:space="preserve">R5 (kohm)</t>
  </si>
  <si>
    <t xml:space="preserve">Duty Cycle</t>
  </si>
  <si>
    <t xml:space="preserve">Dmax = (Vout/Vin) * factor</t>
  </si>
  <si>
    <t xml:space="preserve">Inductor Ripple Current (using min L)</t>
  </si>
  <si>
    <t xml:space="preserve">Delta I = (Vin-Vout)*D / (Fsw*L)</t>
  </si>
  <si>
    <t xml:space="preserve">Delta I with L actual used</t>
  </si>
  <si>
    <t xml:space="preserve">Current Limit Margins</t>
  </si>
  <si>
    <t xml:space="preserve">HS current limit w/ margin (A)</t>
  </si>
  <si>
    <t xml:space="preserve">LS current limit w/ margin (A)</t>
  </si>
  <si>
    <t xml:space="preserve">Max switching current (Iout + margin)</t>
  </si>
  <si>
    <t xml:space="preserve">HS margin vs max switching current (A)</t>
  </si>
  <si>
    <t xml:space="preserve">LS margin vs max switching current (A)</t>
  </si>
  <si>
    <t xml:space="preserve">Feedback Resistor Divider Check</t>
  </si>
  <si>
    <t xml:space="preserve">Vout = Vref*(1+R4/R5)  [Vref assumed 0.6V]</t>
  </si>
  <si>
    <t xml:space="preserve">Calculated Vout from R4/R5 (V)</t>
  </si>
  <si>
    <t xml:space="preserve">Notes: Blue cells = user inputs / assumptions. Black cells = calculated via formulas. Vref (0.6V) is an assumption - replace with actual regulator datasheet value if different.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</si>
</sst>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n">
        <v>28</v>
      </c>
    </row>
    <row r="5" customFormat="false" ht="15" hidden="false" customHeight="false" outlineLevel="0" collapsed="false">
      <c r="A5" s="3" t="s">
        <v>3</v>
      </c>
      <c r="B5" s="4" t="n">
        <v>5</v>
      </c>
    </row>
    <row r="6" customFormat="false" ht="15" hidden="false" customHeight="false" outlineLevel="0" collapsed="false">
      <c r="A6" s="3" t="s">
        <v>4</v>
      </c>
      <c r="B6" s="4" t="n">
        <v>0.85</v>
      </c>
    </row>
    <row r="7" customFormat="false" ht="15" hidden="false" customHeight="false" outlineLevel="0" collapsed="false">
      <c r="A7" s="3" t="s">
        <v>5</v>
      </c>
      <c r="B7" s="4" t="n">
        <v>12</v>
      </c>
    </row>
    <row r="8" customFormat="false" ht="15" hidden="false" customHeight="false" outlineLevel="0" collapsed="false">
      <c r="A8" s="3" t="s">
        <v>6</v>
      </c>
      <c r="B8" s="4" t="n">
        <v>24</v>
      </c>
    </row>
    <row r="9" customFormat="false" ht="15" hidden="false" customHeight="false" outlineLevel="0" collapsed="false">
      <c r="A9" s="3" t="s">
        <v>7</v>
      </c>
      <c r="B9" s="4" t="n">
        <v>1100</v>
      </c>
    </row>
    <row r="10" customFormat="false" ht="15" hidden="false" customHeight="false" outlineLevel="0" collapsed="false">
      <c r="A10" s="3" t="s">
        <v>8</v>
      </c>
      <c r="B10" s="4" t="n">
        <v>1.6</v>
      </c>
    </row>
    <row r="11" customFormat="false" ht="15" hidden="false" customHeight="false" outlineLevel="0" collapsed="false">
      <c r="A11" s="3" t="s">
        <v>9</v>
      </c>
      <c r="B11" s="4" t="n">
        <v>1.2</v>
      </c>
    </row>
    <row r="12" customFormat="false" ht="15" hidden="false" customHeight="false" outlineLevel="0" collapsed="false">
      <c r="A12" s="3" t="s">
        <v>10</v>
      </c>
      <c r="B12" s="4" t="n">
        <v>0.18</v>
      </c>
    </row>
    <row r="13" customFormat="false" ht="15" hidden="false" customHeight="false" outlineLevel="0" collapsed="false">
      <c r="A13" s="3" t="s">
        <v>11</v>
      </c>
      <c r="B13" s="4" t="n">
        <v>0.5</v>
      </c>
    </row>
    <row r="14" customFormat="false" ht="15" hidden="false" customHeight="false" outlineLevel="0" collapsed="false">
      <c r="A14" s="3" t="s">
        <v>12</v>
      </c>
      <c r="B14" s="4" t="n">
        <v>100</v>
      </c>
    </row>
    <row r="15" customFormat="false" ht="15" hidden="false" customHeight="false" outlineLevel="0" collapsed="false">
      <c r="A15" s="3" t="s">
        <v>13</v>
      </c>
      <c r="B15" s="4" t="n">
        <v>13.3</v>
      </c>
    </row>
    <row r="17" customFormat="false" ht="15" hidden="false" customHeight="false" outlineLevel="0" collapsed="false">
      <c r="A17" s="2" t="s">
        <v>14</v>
      </c>
      <c r="B17" s="2"/>
      <c r="C17" s="2"/>
      <c r="D17" s="2"/>
    </row>
    <row r="18" customFormat="false" ht="15" hidden="false" customHeight="false" outlineLevel="0" collapsed="false">
      <c r="A18" s="5" t="s">
        <v>15</v>
      </c>
      <c r="B18" s="6" t="n">
        <f aca="false">(B5/B4)*B6</f>
        <v>0.151785714285714</v>
      </c>
    </row>
    <row r="20" customFormat="false" ht="15" hidden="false" customHeight="false" outlineLevel="0" collapsed="false">
      <c r="A20" s="2" t="s">
        <v>16</v>
      </c>
      <c r="B20" s="2"/>
      <c r="C20" s="2"/>
      <c r="D20" s="2"/>
    </row>
    <row r="21" customFormat="false" ht="15" hidden="false" customHeight="false" outlineLevel="0" collapsed="false">
      <c r="A21" s="5" t="s">
        <v>17</v>
      </c>
      <c r="B21" s="6" t="n">
        <f aca="false">((B4-B5)*B18)/((B9*1000)*(B7*0.000001))</f>
        <v>0.264475108225108</v>
      </c>
    </row>
    <row r="22" customFormat="false" ht="15" hidden="false" customHeight="false" outlineLevel="0" collapsed="false">
      <c r="A22" s="5" t="s">
        <v>18</v>
      </c>
      <c r="B22" s="6" t="n">
        <f aca="false">((B4-B5)*B18)/((B9*1000)*(B8*0.000001))</f>
        <v>0.132237554112554</v>
      </c>
    </row>
    <row r="24" customFormat="false" ht="15" hidden="false" customHeight="false" outlineLevel="0" collapsed="false">
      <c r="A24" s="2" t="s">
        <v>19</v>
      </c>
      <c r="B24" s="2"/>
      <c r="C24" s="2"/>
      <c r="D24" s="2"/>
    </row>
    <row r="25" customFormat="false" ht="15" hidden="false" customHeight="false" outlineLevel="0" collapsed="false">
      <c r="A25" s="5" t="s">
        <v>20</v>
      </c>
      <c r="B25" s="7" t="n">
        <f aca="false">B10-B12</f>
        <v>1.42</v>
      </c>
    </row>
    <row r="26" customFormat="false" ht="15" hidden="false" customHeight="false" outlineLevel="0" collapsed="false">
      <c r="A26" s="5" t="s">
        <v>21</v>
      </c>
      <c r="B26" s="7" t="n">
        <f aca="false">B11-B12</f>
        <v>1.02</v>
      </c>
    </row>
    <row r="27" customFormat="false" ht="15" hidden="false" customHeight="false" outlineLevel="0" collapsed="false">
      <c r="A27" s="5" t="s">
        <v>22</v>
      </c>
      <c r="B27" s="7" t="n">
        <f aca="false">B13+B12</f>
        <v>0.68</v>
      </c>
    </row>
    <row r="28" customFormat="false" ht="15" hidden="false" customHeight="false" outlineLevel="0" collapsed="false">
      <c r="A28" s="5" t="s">
        <v>23</v>
      </c>
      <c r="B28" s="7" t="n">
        <f aca="false">B25-B27</f>
        <v>0.74</v>
      </c>
    </row>
    <row r="29" customFormat="false" ht="15" hidden="false" customHeight="false" outlineLevel="0" collapsed="false">
      <c r="A29" s="5" t="s">
        <v>24</v>
      </c>
      <c r="B29" s="7" t="n">
        <f aca="false">B26-B27</f>
        <v>0.34</v>
      </c>
    </row>
    <row r="31" customFormat="false" ht="15" hidden="false" customHeight="false" outlineLevel="0" collapsed="false">
      <c r="A31" s="2" t="s">
        <v>25</v>
      </c>
      <c r="B31" s="2"/>
      <c r="C31" s="2"/>
      <c r="D31" s="2"/>
    </row>
    <row r="32" customFormat="false" ht="15" hidden="false" customHeight="false" outlineLevel="0" collapsed="false">
      <c r="A32" s="3" t="s">
        <v>26</v>
      </c>
      <c r="B32" s="4" t="n">
        <v>0.6</v>
      </c>
    </row>
    <row r="33" customFormat="false" ht="15" hidden="false" customHeight="false" outlineLevel="0" collapsed="false">
      <c r="A33" s="5" t="s">
        <v>27</v>
      </c>
      <c r="B33" s="8" t="n">
        <f aca="false">B32*(1+(B14/B15))</f>
        <v>5.11127819548872</v>
      </c>
    </row>
    <row r="35" customFormat="false" ht="22.35" hidden="false" customHeight="true" outlineLevel="0" collapsed="false">
      <c r="A35" s="9" t="s">
        <v>28</v>
      </c>
      <c r="B35" s="9"/>
      <c r="C35" s="9"/>
      <c r="D35" s="9"/>
    </row>
  </sheetData>
  <mergeCells count="7">
    <mergeCell ref="A1:D1"/>
    <mergeCell ref="A3:D3"/>
    <mergeCell ref="A17:D17"/>
    <mergeCell ref="A20:D20"/>
    <mergeCell ref="A24:D24"/>
    <mergeCell ref="A31:D31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2026-08-19T14:11:54Z</dcterms:created>
  <dc:creator>openpyxl</dc:creator>
  <dc:description/>
  <dc:language>en-US</dc:language>
  <cp:lastModifiedBy/>
  <dcterms:modified xsi:type="dcterms:W3CDTF">2026-08-19T14:11:54Z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